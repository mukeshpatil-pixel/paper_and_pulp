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  <sheet name="Summa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<sst xmlns="http://schemas.openxmlformats.org/spreadsheetml/2006/main" count="219" uniqueCount="165">
  <si>
    <t xml:space="preserve">Date</t>
  </si>
  <si>
    <t xml:space="preserve">Activity</t>
  </si>
  <si>
    <t xml:space="preserve">Workstream</t>
  </si>
  <si>
    <t xml:space="preserve">Work Done</t>
  </si>
  <si>
    <t xml:space="preserve">Output / Deliverable</t>
  </si>
  <si>
    <t xml:space="preserve">Status</t>
  </si>
  <si>
    <t xml:space="preserve">Hours (Actual)</t>
  </si>
  <si>
    <t xml:space="preserve">Reference / Source</t>
  </si>
  <si>
    <t xml:space="preserve">Kelvin.ai Compressor POC — Timesheet</t>
  </si>
  <si>
    <t xml:space="preserve">POC Review</t>
  </si>
  <si>
    <t xml:space="preserve">Existing System</t>
  </si>
  <si>
    <t xml:space="preserve">Reviewed the existing Kelvin.ai compressor QA POC and current tree-based supervised model trained on synthetic data.</t>
  </si>
  <si>
    <t xml:space="preserve">Established current-state baseline for the compressor QC POC.</t>
  </si>
  <si>
    <t xml:space="preserve">Completed</t>
  </si>
  <si>
    <t xml:space="preserve">Internal project discussion</t>
  </si>
  <si>
    <t xml:space="preserve">Updated through 15-Oct-2026. Actual hours remain blank unless recorded. Research and design entries do not imply model training or deployment.</t>
  </si>
  <si>
    <t xml:space="preserve">Fault Definition</t>
  </si>
  <si>
    <t xml:space="preserve">Problem Framing</t>
  </si>
  <si>
    <t xml:space="preserve">Documented the initial target post-shipment / QC fault classes: air leak, inlet-valve leakage, and outlet-valve leakage.</t>
  </si>
  <si>
    <t xml:space="preserve">Initial compressor fault taxonomy.</t>
  </si>
  <si>
    <t xml:space="preserve">Business KPI Design</t>
  </si>
  <si>
    <t xml:space="preserve">Business Value</t>
  </si>
  <si>
    <t xml:space="preserve">Reframed the POC from ML accuracy alone to business outcomes: defect-escape reduction, QC/troubleshooting time, warranty exposure, field-service effort, rework, and first-pass yield.</t>
  </si>
  <si>
    <t xml:space="preserve">Business KPI framework.</t>
  </si>
  <si>
    <t xml:space="preserve">Metric</t>
  </si>
  <si>
    <t xml:space="preserve">Value</t>
  </si>
  <si>
    <t xml:space="preserve">Dataset Research</t>
  </si>
  <si>
    <t xml:space="preserve">Real Fault Data</t>
  </si>
  <si>
    <t xml:space="preserve">Identified the IIT Kanpur real compressor acoustic dataset with healthy and multiple seeded fault classes including Leakage Inlet Valve, Leakage Outlet Valve, NRV, piston-ring, flywheel, rider-belt, and bearing faults.</t>
  </si>
  <si>
    <t xml:space="preserve">Primary real-data candidate for fault-classification feasibility.</t>
  </si>
  <si>
    <t xml:space="preserve">https://iitk.ac.in/iil/datasets/</t>
  </si>
  <si>
    <t xml:space="preserve">Logged Activities</t>
  </si>
  <si>
    <t xml:space="preserve">Operational Sensor Data</t>
  </si>
  <si>
    <t xml:space="preserve">Reviewed MetroPT-3 as a real operational compressor dataset with pressure/current/oil-temperature/control signals and documented air-leak periods.</t>
  </si>
  <si>
    <t xml:space="preserve">Secondary candidate for real-world anomaly / leakage validation.</t>
  </si>
  <si>
    <t xml:space="preserve">https://archive.ics.uci.edu/dataset/791/metropt%2B3</t>
  </si>
  <si>
    <t xml:space="preserve">Project Days</t>
  </si>
  <si>
    <t xml:space="preserve">Validation Strategy</t>
  </si>
  <si>
    <t xml:space="preserve">POC Methodology</t>
  </si>
  <si>
    <t xml:space="preserve">Clarified that public real data can validate the fault-detection approach for the POC; exact external validation of the current synthetic-trained model requires compatible input features.</t>
  </si>
  <si>
    <t xml:space="preserve">Technically defensible validation statement for client presentation.</t>
  </si>
  <si>
    <t xml:space="preserve">Architecture Design</t>
  </si>
  <si>
    <t xml:space="preserve">Plug-and-Play</t>
  </si>
  <si>
    <t xml:space="preserve">Defined a two-stage plug-and-play concept: Stage 1 learns healthy behavior and flags unseen abnormal behavior; Stage 2 has a technician/compressor engineer verify the anomaly and assign the confirmed fault label.</t>
  </si>
  <si>
    <t xml:space="preserve">Core healthy-only anomaly + human-labeling architecture.</t>
  </si>
  <si>
    <t xml:space="preserve">Actual Hours Entered</t>
  </si>
  <si>
    <t xml:space="preserve">Continual Learning</t>
  </si>
  <si>
    <t xml:space="preserve">Fault Library</t>
  </si>
  <si>
    <t xml:space="preserve">Designed the feedback loop for storing confirmed anomalies, technician labels, false alarms, and recurring fault signatures so the system improves with customer-specific data.</t>
  </si>
  <si>
    <t xml:space="preserve">Growing fault-signature / labeled incident library.</t>
  </si>
  <si>
    <t xml:space="preserve">Fault Identification</t>
  </si>
  <si>
    <t xml:space="preserve">Known vs Unknown</t>
  </si>
  <si>
    <t xml:space="preserve">Defined three output levels: Normal/Abnormal, Known/Novel anomaly, and known fault classification; retained an UNKNOWN path so novel faults are not forced into an incorrect known class.</t>
  </si>
  <si>
    <t xml:space="preserve">Safer fault-identification logic.</t>
  </si>
  <si>
    <t xml:space="preserve">Sensor-Agnostic Design</t>
  </si>
  <si>
    <t xml:space="preserve">Feature Engineering</t>
  </si>
  <si>
    <t xml:space="preserve">Outlined modular feature groups for available sensors such as pressure, temperature, current, flow, vibration, and acoustic signals rather than hard-coding one sensor set.</t>
  </si>
  <si>
    <t xml:space="preserve">Sensor-flexible feature architecture.</t>
  </si>
  <si>
    <t xml:space="preserve">Operating-State Design</t>
  </si>
  <si>
    <t xml:space="preserve">False Alarm Control</t>
  </si>
  <si>
    <t xml:space="preserve">Identified the need to compare data within operating modes such as startup, unloaded, loaded, steady-state, and shutdown to avoid treating normal state transitions as anomalies.</t>
  </si>
  <si>
    <t xml:space="preserve">Operating-state-aware anomaly detection requirement.</t>
  </si>
  <si>
    <t xml:space="preserve">Model Concept Refinement</t>
  </si>
  <si>
    <t xml:space="preserve">Expected vs Actual</t>
  </si>
  <si>
    <t xml:space="preserve">Refined the QC concept around expected healthy behavior and residuals: model expected signal behavior under operating conditions and flag deviations while separating environment/installation effects from machine abnormality.</t>
  </si>
  <si>
    <t xml:space="preserve">Residual-based health / anomaly concept.</t>
  </si>
  <si>
    <t xml:space="preserve">Validation Requirements</t>
  </si>
  <si>
    <t xml:space="preserve">Operating Envelope</t>
  </si>
  <si>
    <t xml:space="preserve">Established that healthy training/validation should cover varied operating conditions so changes in load, environment, installation, or compressor state are not mistaken for faults.</t>
  </si>
  <si>
    <t xml:space="preserve">Operating-envelope requirement for robust deployment.</t>
  </si>
  <si>
    <t xml:space="preserve">Healthy Baseline</t>
  </si>
  <si>
    <t xml:space="preserve">Extended public-data research and identified RCSD-1YD, a one-year refinery centrifugal-compressor sensor dataset dominated by stable/normal operation, as a useful healthy-baseline candidate.</t>
  </si>
  <si>
    <t xml:space="preserve">Additional healthy-operation dataset candidate.</t>
  </si>
  <si>
    <t xml:space="preserve">https://ieeexplore.ieee.org/document/11006410/</t>
  </si>
  <si>
    <t xml:space="preserve">Anomaly / Failure Data</t>
  </si>
  <si>
    <t xml:space="preserve">Identified MetroPT2 as a large real multivariate compressor time-series dataset with documented air-leak and oil-leak failure intervals; prioritized it for healthy-only anomaly experiments.</t>
  </si>
  <si>
    <t xml:space="preserve">Large real operational anomaly-validation candidate.</t>
  </si>
  <si>
    <t xml:space="preserve">https://zenodo.org/records/7766691</t>
  </si>
  <si>
    <t xml:space="preserve">Data Availability Review</t>
  </si>
  <si>
    <t xml:space="preserve">Deployment Planning</t>
  </si>
  <si>
    <t xml:space="preserve">Noted that detailed public failure datasets are scarce and that production deployment will ultimately require customer/OEM historian, PLC/DCS, QC, maintenance, or service data for site-specific calibration and labels.</t>
  </si>
  <si>
    <t xml:space="preserve">Data acquisition direction for real deployment.</t>
  </si>
  <si>
    <t xml:space="preserve">POC Strategy</t>
  </si>
  <si>
    <t xml:space="preserve">Consolidated the POC flow: healthy baseline model → anomaly detection → technician verification → confirmed label → growing fault knowledge base; avoided claiming universal cross-compressor fault generalization.</t>
  </si>
  <si>
    <t xml:space="preserve">Practical deployment and learning loop.</t>
  </si>
  <si>
    <t xml:space="preserve">OEM Technology Research</t>
  </si>
  <si>
    <t xml:space="preserve">Controls and Connectivity</t>
  </si>
  <si>
    <t xml:space="preserve">Reviewed public OEM and practitioner accounts for Atlas Copco controllers, Gateway 4.0, SMARTLINK, and Burckhardt PROGNOST monitoring. Distinguished employee project descriptions from reposts.</t>
  </si>
  <si>
    <t xml:space="preserve">Documented compressor integration options and supporting public references.</t>
  </si>
  <si>
    <t xml:space="preserve">LinkedIn and OEM research in this chat</t>
  </si>
  <si>
    <t xml:space="preserve">Manufacturing QC Research</t>
  </si>
  <si>
    <t xml:space="preserve">Factory and Site Acceptance</t>
  </si>
  <si>
    <t xml:space="preserve">Documented material inspection, assembly checks, pressure tests, controls FAT, mechanical running tests, performance testing, shipment inspection and SAT.</t>
  </si>
  <si>
    <t xml:space="preserve">Twenty-stage compressor QC workflow and compressor-type comparison.</t>
  </si>
  <si>
    <t xml:space="preserve">API guides and public FAT accounts in this chat</t>
  </si>
  <si>
    <t xml:space="preserve">Documentation</t>
  </si>
  <si>
    <t xml:space="preserve">QC Guide</t>
  </si>
  <si>
    <t xml:space="preserve">Created a Word guide covering manufacturing QC, published FAT examples, required records and ML opportunities. Structural checks passed; visual rendering was unavailable.</t>
  </si>
  <si>
    <t xml:space="preserve">Compressor_Manufacturing_Quality_Control_Guide.docx</t>
  </si>
  <si>
    <t xml:space="preserve">Project root document</t>
  </si>
  <si>
    <t xml:space="preserve">QC Scope Definition</t>
  </si>
  <si>
    <t xml:space="preserve">Factory to Site Validation</t>
  </si>
  <si>
    <t xml:space="preserve">Clarified the proposed QC scope around FAT-to-SAT deviations, installed performance and early quality issues; discussed limits of vibration-only diagnosis.</t>
  </si>
  <si>
    <t xml:space="preserve">Proposed QC categories and factory-to-site comparison workflow.</t>
  </si>
  <si>
    <t xml:space="preserve">Discussion in this chat; design only</t>
  </si>
  <si>
    <t xml:space="preserve">Sensor Requirements</t>
  </si>
  <si>
    <t xml:space="preserve">POC Design</t>
  </si>
  <si>
    <t xml:space="preserve">Proposed process inputs covering pressure, flow, power, temperature, speed, operating state, lubrication and vibration. Identified limits on component-level diagnosis.</t>
  </si>
  <si>
    <t xml:space="preserve">Candidate sensor list for a narrow QC POC.</t>
  </si>
  <si>
    <t xml:space="preserve">Discussion in this chat; sensor availability not confirmed</t>
  </si>
  <si>
    <t xml:space="preserve">Kelvin Integration Research</t>
  </si>
  <si>
    <t xml:space="preserve">Platform Compatibility</t>
  </si>
  <si>
    <t xml:space="preserve">Verified documented OPC UA and Modbus connections, Python applications, edge processing, asset dashboards, Data Explorer and recommendation views.</t>
  </si>
  <si>
    <t xml:space="preserve">Proposed read-only Kelvin integration and built-in visualization approach; no deployment performed.</t>
  </si>
  <si>
    <t xml:space="preserve">https://docs.kelvin.ai/latest/platform-administration/quick-start/connect-to-data/</t>
  </si>
  <si>
    <t xml:space="preserve">RGC Workbook Inspection</t>
  </si>
  <si>
    <t xml:space="preserve">BPCL Data Preparation</t>
  </si>
  <si>
    <t xml:space="preserve">Inspected 2020_RGC.xlsx and identified RGC_A and RGC_B, a timestamp column and 71 tagged measurements for Compressor A.</t>
  </si>
  <si>
    <t xml:space="preserve">Compressor A schema inventory and tag interpretation.</t>
  </si>
  <si>
    <t xml:space="preserve">2020_RGC.xlsx; supplied workbook</t>
  </si>
  <si>
    <t xml:space="preserve">RGC Column Mapping</t>
  </si>
  <si>
    <t xml:space="preserve">Renamed tags by measurement category, extracted only RGC_A, and numbered columns by sensor type. Verified that measurement data were unchanged.</t>
  </si>
  <si>
    <t xml:space="preserve">2020_RGC_A_Sequential_Sensor_Names.xlsx and RGC_A_Sequential_Tag_Mapping.csv</t>
  </si>
  <si>
    <t xml:space="preserve">outputs/rgc_compressor1/</t>
  </si>
  <si>
    <t xml:space="preserve">Tag Interpretation Review</t>
  </si>
  <si>
    <t xml:space="preserve">Sensor Semantics</t>
  </si>
  <si>
    <t xml:space="preserve">Explained that CCRNIIK001AM1.PV may indicate motor current with K001A as equipment ID. Kept the interpretation unconfirmed pending the plant tag dictionary.</t>
  </si>
  <si>
    <t xml:space="preserve">Documented motor-current hypothesis; no confirmed location or units.</t>
  </si>
  <si>
    <t xml:space="preserve">Discussion in this chat; no subsequent workbook rename</t>
  </si>
  <si>
    <t xml:space="preserve">Fault-Signature Review</t>
  </si>
  <si>
    <t xml:space="preserve">Reciprocating Compressor</t>
  </si>
  <si>
    <t xml:space="preserve">Reviewed likely reciprocating-compressor fault evidence for suction/discharge valve leakage, piston-ring wear, and cylinder faults using combinations of acoustic, vibration, cylinder pressure, crank-angle, and temperature information.</t>
  </si>
  <si>
    <t xml:space="preserve">Fault-to-sensor evidence map concept.</t>
  </si>
  <si>
    <t xml:space="preserve">Multi-Asset / Edge</t>
  </si>
  <si>
    <t xml:space="preserve">Refined a plug-and-play multi-asset flow using synchronized process/vibration/acoustic telemetry, operating-mode detection, a healthy-behavior model, fault-specific evidence, persistence checks, and maintenance advisory outputs.</t>
  </si>
  <si>
    <t xml:space="preserve">Expanded deployment architecture.</t>
  </si>
  <si>
    <t xml:space="preserve">Leak Detection Research</t>
  </si>
  <si>
    <t xml:space="preserve">Acoustic / Ultrasonic</t>
  </si>
  <si>
    <t xml:space="preserve">Reviewed handheld ultrasonic leak-detection practice and explored an Edge-AI concept using ultrasonic/acoustic features such as FFT/STFT to distinguish leak signatures from surrounding machinery noise.</t>
  </si>
  <si>
    <t xml:space="preserve">Additional air-leak detection POC direction.</t>
  </si>
  <si>
    <t xml:space="preserve">ML Results Audit</t>
  </si>
  <si>
    <t xml:space="preserve">Project Status</t>
  </si>
  <si>
    <t xml:space="preserve">Checked notebooks, reports and saved outputs. Confirmed that RGC preparation is complete but no RGC EDA, trained model, predictions or evaluation metrics are saved in this workspace.</t>
  </si>
  <si>
    <t xml:space="preserve">Verified RGC implementation status; existing IITK EDA is separate.</t>
  </si>
  <si>
    <t xml:space="preserve">Workspace file audit; notebooks/README.md; reports/eda/summary.json</t>
  </si>
  <si>
    <t xml:space="preserve">Timesheet Update</t>
  </si>
  <si>
    <t xml:space="preserve">Project Documentation</t>
  </si>
  <si>
    <t xml:space="preserve">Added dated completed research, QC documentation, Kelvin feasibility review, RGC preparation and results-audit activities; retained prior records and left actual hours editable.</t>
  </si>
  <si>
    <t xml:space="preserve">Updated project timesheet and date summary.</t>
  </si>
  <si>
    <t xml:space="preserve">This workbook</t>
  </si>
  <si>
    <t xml:space="preserve">Kelvin.ai Compressor POC — Work Summary</t>
  </si>
  <si>
    <t xml:space="preserve">Completed research and QC design, Kelvin integration feasibility, QC guide and RGC Compressor A preparation. RGC ML training and evaluation have not yet been performed in this workspace.</t>
  </si>
  <si>
    <t xml:space="preserve">KPI</t>
  </si>
  <si>
    <t xml:space="preserve">Total logged activities</t>
  </si>
  <si>
    <t xml:space="preserve">Distinct work dates</t>
  </si>
  <si>
    <t xml:space="preserve">Completed activities</t>
  </si>
  <si>
    <t xml:space="preserve">Actual hours entered</t>
  </si>
  <si>
    <t xml:space="preserve">Activities Logged</t>
  </si>
  <si>
    <t xml:space="preserve">Key Milestone</t>
  </si>
  <si>
    <t xml:space="preserve">Existing entries retained: synthetic-model review, business KPIs, dataset research and anomaly architecture.</t>
  </si>
  <si>
    <t xml:space="preserve">Existing entries retained: expected-versus-actual concept and operating-envelope requirements.</t>
  </si>
  <si>
    <t xml:space="preserve">Dataset and OEM research; manufacturing QC workflow; Word QC guide created.</t>
  </si>
  <si>
    <t xml:space="preserve">QC scope and sensor requirements; Kelvin interface/dashboard research; RGC_A extraction and sequential sensor mapping.</t>
  </si>
  <si>
    <t xml:space="preserve">Existing entries retained: reciprocating fault signatures, multi-asset concept and ultrasonic leak-detection research.</t>
  </si>
  <si>
    <t xml:space="preserve">Audited saved ML work: no RGC model or results yet; updated timesheet.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</si>
</sst>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0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17365D"/>
        <bgColor rgb="FF1F4E78"/>
      </patternFill>
    </fill>
    <fill>
      <patternFill patternType="solid">
        <fgColor rgb="FFD9EAF7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56082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Project Activities by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"Activities Logged"</c:f>
              <c:strCache>
                <c:ptCount val="1"/>
                <c:pt idx="0">
                  <c:v>Activities Logged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Summary!$A$12:$A$16</c:f>
              <c:strCache>
                <c:ptCount val="5"/>
                <c:pt idx="0">
                  <c:v/>
                </c:pt>
                <c:pt idx="1">
                  <c:v>05-Oct-2026</c:v>
                </c:pt>
                <c:pt idx="2">
                  <c:v>06-Oct-2026</c:v>
                </c:pt>
                <c:pt idx="3">
                  <c:v>08-Oct-2026</c:v>
                </c:pt>
                <c:pt idx="4">
                  <c:v>13-Oct-2026</c:v>
                </c:pt>
              </c:strCache>
            </c:strRef>
          </c:cat>
          <c:val>
            <c:numRef>
              <c:f>Summary!$B$12:$B$16</c:f>
              <c:numCache>
                <c:formatCode>General</c:formatCode>
                <c:ptCount val="5"/>
                <c:pt idx="1">
                  <c:v>11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55523016"/>
        <c:axId val="39818310"/>
      </c:barChart>
      <c:catAx>
        <c:axId val="5552301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9818310"/>
        <c:crosses val="autoZero"/>
        <c:auto val="1"/>
        <c:lblAlgn val="ctr"/>
        <c:lblOffset val="100"/>
        <c:noMultiLvlLbl val="0"/>
      </c:catAx>
      <c:valAx>
        <c:axId val="3981831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55230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11</xdr:col>
      <xdr:colOff>601560</xdr:colOff>
      <xdr:row>17</xdr:row>
      <xdr:rowOff>190080</xdr:rowOff>
    </xdr:to>
    <xdr:graphicFrame>
      <xdr:nvGraphicFramePr>
        <xdr:cNvPr id="1" name="Chart"/>
        <xdr:cNvGraphicFramePr/>
      </xdr:nvGraphicFramePr>
      <xdr:xfrm>
        <a:off x="8073360" y="952560"/>
        <a:ext cx="4815360" cy="372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pressorTimesheetTable" displayName="CompressorTimesheetTable" ref="A1:H32" headerRowCount="1" totalsRowCount="0" totalsRowShown="0">
  <tableColumns count="8">
    <tableColumn id="1" name="Date"/>
    <tableColumn id="2" name="Activity"/>
    <tableColumn id="3" name="Workstream"/>
    <tableColumn id="4" name="Work Done"/>
    <tableColumn id="5" name="Output / Deliverable"/>
    <tableColumn id="6" name="Status"/>
    <tableColumn id="7" name="Hours (Actual)"/>
    <tableColumn id="8" name="Reference / Sourc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" activeCellId="0" sqref="E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2"/>
    <col collapsed="false" customWidth="true" hidden="false" outlineLevel="0" max="4" min="4" style="0" width="52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10" min="10" style="0" width="24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/>
      <c r="L1" s="2"/>
      <c r="M1" s="2"/>
    </row>
    <row r="2" customFormat="false" ht="26.4" hidden="false" customHeight="true" outlineLevel="0" collapsed="false">
      <c r="A2" s="3" t="n">
        <v>46300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/>
      <c r="H2" s="4" t="s">
        <v>14</v>
      </c>
      <c r="J2" s="6" t="s">
        <v>15</v>
      </c>
      <c r="K2" s="6"/>
      <c r="L2" s="6"/>
      <c r="M2" s="6"/>
    </row>
    <row r="3" customFormat="false" ht="36.7" hidden="false" customHeight="true" outlineLevel="0" collapsed="false">
      <c r="A3" s="3" t="n">
        <v>46300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13</v>
      </c>
      <c r="G3" s="5"/>
      <c r="H3" s="4" t="s">
        <v>14</v>
      </c>
      <c r="J3" s="4"/>
      <c r="K3" s="4"/>
      <c r="L3" s="4"/>
      <c r="M3" s="4"/>
    </row>
    <row r="4" customFormat="false" ht="71.05" hidden="false" customHeight="true" outlineLevel="0" collapsed="false">
      <c r="A4" s="3" t="n">
        <v>46300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13</v>
      </c>
      <c r="G4" s="5"/>
      <c r="H4" s="4" t="s">
        <v>14</v>
      </c>
      <c r="J4" s="1" t="s">
        <v>24</v>
      </c>
      <c r="K4" s="1" t="s">
        <v>25</v>
      </c>
    </row>
    <row r="5" customFormat="false" ht="52.8" hidden="false" customHeight="true" outlineLevel="0" collapsed="false">
      <c r="A5" s="3" t="n">
        <v>46300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13</v>
      </c>
      <c r="G5" s="5"/>
      <c r="H5" s="4" t="s">
        <v>30</v>
      </c>
      <c r="J5" s="7" t="s">
        <v>31</v>
      </c>
      <c r="K5" s="8" t="n">
        <f aca="false">COUNTA(A2:A32)</f>
        <v>31</v>
      </c>
    </row>
    <row r="6" customFormat="false" ht="39.6" hidden="false" customHeight="true" outlineLevel="0" collapsed="false">
      <c r="A6" s="3" t="n">
        <v>46300</v>
      </c>
      <c r="B6" s="4" t="s">
        <v>26</v>
      </c>
      <c r="C6" s="4" t="s">
        <v>32</v>
      </c>
      <c r="D6" s="4" t="s">
        <v>33</v>
      </c>
      <c r="E6" s="4" t="s">
        <v>34</v>
      </c>
      <c r="F6" s="4" t="s">
        <v>13</v>
      </c>
      <c r="G6" s="5"/>
      <c r="H6" s="4" t="s">
        <v>35</v>
      </c>
      <c r="J6" s="7" t="s">
        <v>36</v>
      </c>
      <c r="K6" s="8" t="n">
        <f aca="false">COUNTA(Summary!A13:A18)</f>
        <v>6</v>
      </c>
    </row>
    <row r="7" customFormat="false" ht="39.6" hidden="false" customHeight="true" outlineLevel="0" collapsed="false">
      <c r="A7" s="3" t="n">
        <v>46300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13</v>
      </c>
      <c r="G7" s="5"/>
      <c r="H7" s="4" t="s">
        <v>14</v>
      </c>
      <c r="J7" s="7" t="s">
        <v>13</v>
      </c>
      <c r="K7" s="8" t="n">
        <f aca="false">COUNTIF(F2:F32,"Completed")</f>
        <v>31</v>
      </c>
    </row>
    <row r="8" customFormat="false" ht="52.8" hidden="false" customHeight="true" outlineLevel="0" collapsed="false">
      <c r="A8" s="3" t="n">
        <v>46300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13</v>
      </c>
      <c r="G8" s="5"/>
      <c r="H8" s="4" t="s">
        <v>14</v>
      </c>
      <c r="J8" s="7" t="s">
        <v>45</v>
      </c>
      <c r="K8" s="8" t="n">
        <f aca="false">SUM(G2:G32)</f>
        <v>0</v>
      </c>
    </row>
    <row r="9" customFormat="false" ht="39.6" hidden="false" customHeight="true" outlineLevel="0" collapsed="false">
      <c r="A9" s="3" t="n">
        <v>46300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13</v>
      </c>
      <c r="G9" s="5"/>
      <c r="H9" s="4" t="s">
        <v>14</v>
      </c>
    </row>
    <row r="10" customFormat="false" ht="39.6" hidden="false" customHeight="true" outlineLevel="0" collapsed="false">
      <c r="A10" s="3" t="n">
        <v>46300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13</v>
      </c>
      <c r="G10" s="5"/>
      <c r="H10" s="4" t="s">
        <v>14</v>
      </c>
    </row>
    <row r="11" customFormat="false" ht="39.6" hidden="false" customHeight="true" outlineLevel="0" collapsed="false">
      <c r="A11" s="3" t="n">
        <v>46300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13</v>
      </c>
      <c r="G11" s="5"/>
      <c r="H11" s="4" t="s">
        <v>14</v>
      </c>
    </row>
    <row r="12" customFormat="false" ht="39.6" hidden="false" customHeight="true" outlineLevel="0" collapsed="false">
      <c r="A12" s="3" t="n">
        <v>46300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13</v>
      </c>
      <c r="G12" s="5"/>
      <c r="H12" s="4" t="s">
        <v>14</v>
      </c>
    </row>
    <row r="13" customFormat="false" ht="52.8" hidden="false" customHeight="true" outlineLevel="0" collapsed="false">
      <c r="A13" s="3" t="n">
        <v>46301</v>
      </c>
      <c r="B13" s="4" t="s">
        <v>62</v>
      </c>
      <c r="C13" s="4" t="s">
        <v>63</v>
      </c>
      <c r="D13" s="4" t="s">
        <v>64</v>
      </c>
      <c r="E13" s="4" t="s">
        <v>65</v>
      </c>
      <c r="F13" s="4" t="s">
        <v>13</v>
      </c>
      <c r="G13" s="5"/>
      <c r="H13" s="4" t="s">
        <v>14</v>
      </c>
    </row>
    <row r="14" customFormat="false" ht="39.6" hidden="false" customHeight="true" outlineLevel="0" collapsed="false">
      <c r="A14" s="3" t="n">
        <v>46301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13</v>
      </c>
      <c r="G14" s="5"/>
      <c r="H14" s="4" t="s">
        <v>14</v>
      </c>
    </row>
    <row r="15" customFormat="false" ht="39.6" hidden="false" customHeight="true" outlineLevel="0" collapsed="false">
      <c r="A15" s="3" t="n">
        <v>46303</v>
      </c>
      <c r="B15" s="4" t="s">
        <v>26</v>
      </c>
      <c r="C15" s="4" t="s">
        <v>70</v>
      </c>
      <c r="D15" s="4" t="s">
        <v>71</v>
      </c>
      <c r="E15" s="4" t="s">
        <v>72</v>
      </c>
      <c r="F15" s="4" t="s">
        <v>13</v>
      </c>
      <c r="G15" s="5"/>
      <c r="H15" s="4" t="s">
        <v>73</v>
      </c>
    </row>
    <row r="16" customFormat="false" ht="39.6" hidden="false" customHeight="true" outlineLevel="0" collapsed="false">
      <c r="A16" s="3" t="n">
        <v>46303</v>
      </c>
      <c r="B16" s="4" t="s">
        <v>26</v>
      </c>
      <c r="C16" s="4" t="s">
        <v>74</v>
      </c>
      <c r="D16" s="4" t="s">
        <v>75</v>
      </c>
      <c r="E16" s="4" t="s">
        <v>76</v>
      </c>
      <c r="F16" s="4" t="s">
        <v>13</v>
      </c>
      <c r="G16" s="5"/>
      <c r="H16" s="4" t="s">
        <v>77</v>
      </c>
    </row>
    <row r="17" customFormat="false" ht="52.8" hidden="false" customHeight="true" outlineLevel="0" collapsed="false">
      <c r="A17" s="3" t="n">
        <v>46303</v>
      </c>
      <c r="B17" s="4" t="s">
        <v>78</v>
      </c>
      <c r="C17" s="4" t="s">
        <v>79</v>
      </c>
      <c r="D17" s="4" t="s">
        <v>80</v>
      </c>
      <c r="E17" s="4" t="s">
        <v>81</v>
      </c>
      <c r="F17" s="4" t="s">
        <v>13</v>
      </c>
      <c r="G17" s="5"/>
      <c r="H17" s="4" t="s">
        <v>14</v>
      </c>
    </row>
    <row r="18" customFormat="false" ht="52.8" hidden="false" customHeight="true" outlineLevel="0" collapsed="false">
      <c r="A18" s="3" t="n">
        <v>46303</v>
      </c>
      <c r="B18" s="4" t="s">
        <v>82</v>
      </c>
      <c r="C18" s="4" t="s">
        <v>42</v>
      </c>
      <c r="D18" s="4" t="s">
        <v>83</v>
      </c>
      <c r="E18" s="4" t="s">
        <v>84</v>
      </c>
      <c r="F18" s="4" t="s">
        <v>13</v>
      </c>
      <c r="G18" s="5"/>
      <c r="H18" s="4" t="s">
        <v>14</v>
      </c>
    </row>
    <row r="19" customFormat="false" ht="52.8" hidden="false" customHeight="true" outlineLevel="0" collapsed="false">
      <c r="A19" s="3" t="n">
        <v>46303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13</v>
      </c>
      <c r="G19" s="5"/>
      <c r="H19" s="4" t="s">
        <v>89</v>
      </c>
    </row>
    <row r="20" customFormat="false" ht="39.6" hidden="false" customHeight="true" outlineLevel="0" collapsed="false">
      <c r="A20" s="3" t="n">
        <v>46303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13</v>
      </c>
      <c r="G20" s="5"/>
      <c r="H20" s="4" t="s">
        <v>94</v>
      </c>
    </row>
    <row r="21" customFormat="false" ht="39.6" hidden="false" customHeight="true" outlineLevel="0" collapsed="false">
      <c r="A21" s="3" t="n">
        <v>46303</v>
      </c>
      <c r="B21" s="4" t="s">
        <v>95</v>
      </c>
      <c r="C21" s="4" t="s">
        <v>96</v>
      </c>
      <c r="D21" s="4" t="s">
        <v>97</v>
      </c>
      <c r="E21" s="4" t="s">
        <v>98</v>
      </c>
      <c r="F21" s="4" t="s">
        <v>13</v>
      </c>
      <c r="G21" s="5"/>
      <c r="H21" s="4" t="s">
        <v>99</v>
      </c>
    </row>
    <row r="22" customFormat="false" ht="39.6" hidden="false" customHeight="true" outlineLevel="0" collapsed="false">
      <c r="A22" s="3" t="n">
        <v>46308</v>
      </c>
      <c r="B22" s="4" t="s">
        <v>100</v>
      </c>
      <c r="C22" s="4" t="s">
        <v>101</v>
      </c>
      <c r="D22" s="4" t="s">
        <v>102</v>
      </c>
      <c r="E22" s="4" t="s">
        <v>103</v>
      </c>
      <c r="F22" s="4" t="s">
        <v>13</v>
      </c>
      <c r="G22" s="5"/>
      <c r="H22" s="4" t="s">
        <v>104</v>
      </c>
    </row>
    <row r="23" customFormat="false" ht="39.6" hidden="false" customHeight="true" outlineLevel="0" collapsed="false">
      <c r="A23" s="3" t="n">
        <v>46308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13</v>
      </c>
      <c r="G23" s="5"/>
      <c r="H23" s="4" t="s">
        <v>109</v>
      </c>
    </row>
    <row r="24" customFormat="false" ht="39.6" hidden="false" customHeight="true" outlineLevel="0" collapsed="false">
      <c r="A24" s="3" t="n">
        <v>46308</v>
      </c>
      <c r="B24" s="4" t="s">
        <v>110</v>
      </c>
      <c r="C24" s="4" t="s">
        <v>111</v>
      </c>
      <c r="D24" s="4" t="s">
        <v>112</v>
      </c>
      <c r="E24" s="4" t="s">
        <v>113</v>
      </c>
      <c r="F24" s="4" t="s">
        <v>13</v>
      </c>
      <c r="G24" s="5"/>
      <c r="H24" s="4" t="s">
        <v>114</v>
      </c>
    </row>
    <row r="25" customFormat="false" ht="26.4" hidden="false" customHeight="true" outlineLevel="0" collapsed="false">
      <c r="A25" s="3" t="n">
        <v>46308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13</v>
      </c>
      <c r="G25" s="5"/>
      <c r="H25" s="4" t="s">
        <v>119</v>
      </c>
    </row>
    <row r="26" customFormat="false" ht="39.6" hidden="false" customHeight="true" outlineLevel="0" collapsed="false">
      <c r="A26" s="3" t="n">
        <v>46308</v>
      </c>
      <c r="B26" s="4" t="s">
        <v>120</v>
      </c>
      <c r="C26" s="4" t="s">
        <v>116</v>
      </c>
      <c r="D26" s="4" t="s">
        <v>121</v>
      </c>
      <c r="E26" s="4" t="s">
        <v>122</v>
      </c>
      <c r="F26" s="4" t="s">
        <v>13</v>
      </c>
      <c r="G26" s="5"/>
      <c r="H26" s="4" t="s">
        <v>123</v>
      </c>
    </row>
    <row r="27" customFormat="false" ht="39.6" hidden="false" customHeight="true" outlineLevel="0" collapsed="false">
      <c r="A27" s="3" t="n">
        <v>46308</v>
      </c>
      <c r="B27" s="4" t="s">
        <v>124</v>
      </c>
      <c r="C27" s="4" t="s">
        <v>125</v>
      </c>
      <c r="D27" s="4" t="s">
        <v>126</v>
      </c>
      <c r="E27" s="4" t="s">
        <v>127</v>
      </c>
      <c r="F27" s="4" t="s">
        <v>13</v>
      </c>
      <c r="G27" s="5"/>
      <c r="H27" s="4" t="s">
        <v>128</v>
      </c>
    </row>
    <row r="28" customFormat="false" ht="52.8" hidden="false" customHeight="true" outlineLevel="0" collapsed="false">
      <c r="A28" s="3" t="n">
        <v>46309</v>
      </c>
      <c r="B28" s="4" t="s">
        <v>129</v>
      </c>
      <c r="C28" s="4" t="s">
        <v>130</v>
      </c>
      <c r="D28" s="4" t="s">
        <v>131</v>
      </c>
      <c r="E28" s="4" t="s">
        <v>132</v>
      </c>
      <c r="F28" s="4" t="s">
        <v>13</v>
      </c>
      <c r="G28" s="5"/>
      <c r="H28" s="4" t="s">
        <v>14</v>
      </c>
    </row>
    <row r="29" customFormat="false" ht="52.8" hidden="false" customHeight="true" outlineLevel="0" collapsed="false">
      <c r="A29" s="3" t="n">
        <v>46309</v>
      </c>
      <c r="B29" s="4" t="s">
        <v>41</v>
      </c>
      <c r="C29" s="4" t="s">
        <v>133</v>
      </c>
      <c r="D29" s="4" t="s">
        <v>134</v>
      </c>
      <c r="E29" s="4" t="s">
        <v>135</v>
      </c>
      <c r="F29" s="4" t="s">
        <v>13</v>
      </c>
      <c r="G29" s="5"/>
      <c r="H29" s="4" t="s">
        <v>14</v>
      </c>
    </row>
    <row r="30" customFormat="false" ht="52.8" hidden="false" customHeight="true" outlineLevel="0" collapsed="false">
      <c r="A30" s="3" t="n">
        <v>46309</v>
      </c>
      <c r="B30" s="4" t="s">
        <v>136</v>
      </c>
      <c r="C30" s="4" t="s">
        <v>137</v>
      </c>
      <c r="D30" s="4" t="s">
        <v>138</v>
      </c>
      <c r="E30" s="4" t="s">
        <v>139</v>
      </c>
      <c r="F30" s="4" t="s">
        <v>13</v>
      </c>
      <c r="G30" s="5"/>
      <c r="H30" s="4" t="s">
        <v>14</v>
      </c>
    </row>
    <row r="31" customFormat="false" ht="39.6" hidden="false" customHeight="true" outlineLevel="0" collapsed="false">
      <c r="A31" s="3" t="n">
        <v>46310</v>
      </c>
      <c r="B31" s="4" t="s">
        <v>140</v>
      </c>
      <c r="C31" s="4" t="s">
        <v>141</v>
      </c>
      <c r="D31" s="4" t="s">
        <v>142</v>
      </c>
      <c r="E31" s="4" t="s">
        <v>143</v>
      </c>
      <c r="F31" s="4" t="s">
        <v>13</v>
      </c>
      <c r="G31" s="5"/>
      <c r="H31" s="4" t="s">
        <v>144</v>
      </c>
    </row>
    <row r="32" customFormat="false" ht="39.6" hidden="false" customHeight="true" outlineLevel="0" collapsed="false">
      <c r="A32" s="3" t="n">
        <v>46310</v>
      </c>
      <c r="B32" s="4" t="s">
        <v>145</v>
      </c>
      <c r="C32" s="4" t="s">
        <v>146</v>
      </c>
      <c r="D32" s="4" t="s">
        <v>147</v>
      </c>
      <c r="E32" s="4" t="s">
        <v>148</v>
      </c>
      <c r="F32" s="4" t="s">
        <v>13</v>
      </c>
      <c r="G32" s="5"/>
      <c r="H32" s="4" t="s">
        <v>149</v>
      </c>
    </row>
  </sheetData>
  <mergeCells count="2">
    <mergeCell ref="J1:M1"/>
    <mergeCell ref="J2:M2"/>
  </mergeCells>
  <conditionalFormatting sqref="F2:F21">
    <cfRule type="expression" priority="2" aboveAverage="0" equalAverage="0" bottom="0" percent="0" rank="0" text="" dxfId="5">
      <formula>F2="Completed"</formula>
    </cfRule>
    <cfRule type="expression" priority="3" aboveAverage="0" equalAverage="0" bottom="0" percent="0" rank="0" text="" dxfId="6">
      <formula>F2="Ongoing"</formula>
    </cfRule>
  </conditionalFormatting>
  <dataValidations count="1">
    <dataValidation allowBlank="false" errorStyle="stop" operator="between" showDropDown="false" showErrorMessage="false" showInputMessage="false" sqref="F2:F40" type="list">
      <formula1>"Completed,Ongoing,Planned,Blocked"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72"/>
  </cols>
  <sheetData>
    <row r="1" customFormat="false" ht="15" hidden="false" customHeight="false" outlineLevel="0" collapsed="false">
      <c r="A1" s="2" t="s">
        <v>150</v>
      </c>
      <c r="B1" s="2"/>
      <c r="C1" s="2"/>
      <c r="D1" s="2"/>
      <c r="E1" s="2"/>
      <c r="F1" s="2"/>
      <c r="G1" s="2"/>
      <c r="H1" s="2"/>
    </row>
    <row r="2" customFormat="false" ht="45" hidden="false" customHeight="true" outlineLevel="0" collapsed="false">
      <c r="A2" s="6" t="s">
        <v>151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1" t="s">
        <v>152</v>
      </c>
      <c r="B4" s="1" t="s">
        <v>25</v>
      </c>
    </row>
    <row r="5" customFormat="false" ht="26.4" hidden="false" customHeight="true" outlineLevel="0" collapsed="false">
      <c r="A5" s="9" t="s">
        <v>153</v>
      </c>
      <c r="B5" s="10" t="n">
        <f aca="false">COUNTA(Timesheet!A2:A32)</f>
        <v>31</v>
      </c>
    </row>
    <row r="6" customFormat="false" ht="15" hidden="false" customHeight="true" outlineLevel="0" collapsed="false">
      <c r="A6" s="9" t="s">
        <v>154</v>
      </c>
      <c r="B6" s="10" t="n">
        <f aca="false">COUNTA(A13:A18)</f>
        <v>6</v>
      </c>
    </row>
    <row r="7" customFormat="false" ht="26.4" hidden="false" customHeight="true" outlineLevel="0" collapsed="false">
      <c r="A7" s="9" t="s">
        <v>155</v>
      </c>
      <c r="B7" s="10" t="n">
        <f aca="false">COUNTIF(Timesheet!F2:F32,"Completed")</f>
        <v>31</v>
      </c>
    </row>
    <row r="8" customFormat="false" ht="26.4" hidden="false" customHeight="true" outlineLevel="0" collapsed="false">
      <c r="A8" s="9" t="s">
        <v>156</v>
      </c>
      <c r="B8" s="8" t="n">
        <f aca="false">SUM(Timesheet!G2:G32)</f>
        <v>0</v>
      </c>
    </row>
    <row r="11" customFormat="false" ht="15" hidden="false" customHeight="false" outlineLevel="0" collapsed="false">
      <c r="A11" s="1" t="s">
        <v>0</v>
      </c>
      <c r="B11" s="1" t="s">
        <v>157</v>
      </c>
      <c r="C11" s="1" t="s">
        <v>158</v>
      </c>
    </row>
    <row r="13" customFormat="false" ht="26.4" hidden="false" customHeight="true" outlineLevel="0" collapsed="false">
      <c r="A13" s="11" t="n">
        <v>46300</v>
      </c>
      <c r="B13" s="0" t="n">
        <f aca="false">COUNTIF(Timesheet!$A$2:$A$32,A13)</f>
        <v>11</v>
      </c>
      <c r="C13" s="4" t="s">
        <v>159</v>
      </c>
    </row>
    <row r="14" customFormat="false" ht="15" hidden="false" customHeight="true" outlineLevel="0" collapsed="false">
      <c r="A14" s="11" t="n">
        <v>46301</v>
      </c>
      <c r="B14" s="0" t="n">
        <f aca="false">COUNTIF(Timesheet!$A$2:$A$32,A14)</f>
        <v>2</v>
      </c>
      <c r="C14" s="4" t="s">
        <v>160</v>
      </c>
    </row>
    <row r="15" customFormat="false" ht="15" hidden="false" customHeight="true" outlineLevel="0" collapsed="false">
      <c r="A15" s="11" t="n">
        <v>46303</v>
      </c>
      <c r="B15" s="0" t="n">
        <f aca="false">COUNTIF(Timesheet!$A$2:$A$32,A15)</f>
        <v>7</v>
      </c>
      <c r="C15" s="4" t="s">
        <v>161</v>
      </c>
    </row>
    <row r="16" customFormat="false" ht="26.4" hidden="false" customHeight="true" outlineLevel="0" collapsed="false">
      <c r="A16" s="11" t="n">
        <v>46308</v>
      </c>
      <c r="B16" s="0" t="n">
        <f aca="false">COUNTIF(Timesheet!$A$2:$A$32,A16)</f>
        <v>6</v>
      </c>
      <c r="C16" s="4" t="s">
        <v>162</v>
      </c>
    </row>
    <row r="17" customFormat="false" ht="26.4" hidden="false" customHeight="true" outlineLevel="0" collapsed="false">
      <c r="A17" s="11" t="n">
        <v>46309</v>
      </c>
      <c r="B17" s="0" t="n">
        <f aca="false">COUNTIF(Timesheet!$A$2:$A$32,A17)</f>
        <v>3</v>
      </c>
      <c r="C17" s="4" t="s">
        <v>163</v>
      </c>
    </row>
    <row r="18" customFormat="false" ht="15" hidden="false" customHeight="true" outlineLevel="0" collapsed="false">
      <c r="A18" s="11" t="n">
        <v>46310</v>
      </c>
      <c r="B18" s="0" t="n">
        <f aca="false">COUNTIF(Timesheet!$A$2:$A$32,A18)</f>
        <v>2</v>
      </c>
      <c r="C18" s="4" t="s">
        <v>164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LibreOffice/26.2.6.1$Windows_X86_64 LibreOffice_project/d1ee4fa77ef37aa4cfa80ea6fd156dcae5d60263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2026-10-16T12:21:22Z</dcterms:modified>
  <cp:revision>1</cp:revision>
  <dc:subject/>
  <dc:title/>
</cp:coreProperties>
</file>